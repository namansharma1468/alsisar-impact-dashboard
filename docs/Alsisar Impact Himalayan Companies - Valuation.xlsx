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<sst xmlns="http://schemas.openxmlformats.org/spreadsheetml/2006/main" count="93" uniqueCount="76">
  <si>
    <t>Venture</t>
  </si>
  <si>
    <t>Geography</t>
  </si>
  <si>
    <t>Sector</t>
  </si>
  <si>
    <t>No of Rounds
(Pre Seed, Seed A, Seed B</t>
  </si>
  <si>
    <t>Valuation as on</t>
  </si>
  <si>
    <t>Current Valuation of the company
(Amount in INR)</t>
  </si>
  <si>
    <t>Amount in Crore</t>
  </si>
  <si>
    <t>Rivtra</t>
  </si>
  <si>
    <t>Assam</t>
  </si>
  <si>
    <t>Inland-waterways logistics</t>
  </si>
  <si>
    <t>no investment round as on date</t>
  </si>
  <si>
    <t>Curve Electric</t>
  </si>
  <si>
    <t>Jammu &amp; Kashmir</t>
  </si>
  <si>
    <t>Clean mobility</t>
  </si>
  <si>
    <t>- 1563 equity shares under Rights Issue : 28.08.2024
- 1625 Pre Seed CCPS under Rights Issue : 28.08.2024</t>
  </si>
  <si>
    <t xml:space="preserve"> as on 10 Jan 2025</t>
  </si>
  <si>
    <t>FastBeetle</t>
  </si>
  <si>
    <t>Logistics &amp; e-commerce</t>
  </si>
  <si>
    <t>- 1,040 equity shares on a rights issue basis : 27.04.2023
- 440 equity shares on a rights issue basis : 16.06.2023</t>
  </si>
  <si>
    <t xml:space="preserve"> as on 9th Oct 2023</t>
  </si>
  <si>
    <t>Lieperbooks</t>
  </si>
  <si>
    <t>Publishing &amp; reading</t>
  </si>
  <si>
    <t>375 pre seed ccps[Right issue round opened on21.12.2023]</t>
  </si>
  <si>
    <t>Zarin</t>
  </si>
  <si>
    <t>Agri &amp; aquaculture linkage</t>
  </si>
  <si>
    <t>Acres of Ice</t>
  </si>
  <si>
    <t>Ladakh</t>
  </si>
  <si>
    <t>Climate adaptation — ice reservoirs</t>
  </si>
  <si>
    <t>750 Pre Seed CCPS under Rights Issue : 09.08.2025</t>
  </si>
  <si>
    <t xml:space="preserve"> as on 31st March 2026</t>
  </si>
  <si>
    <t>Ladakh Basket</t>
  </si>
  <si>
    <t>Natural produce &amp; foods</t>
  </si>
  <si>
    <t>Ladakh Bites</t>
  </si>
  <si>
    <t>Solar-dried food processing</t>
  </si>
  <si>
    <t>Nima Goos Goos</t>
  </si>
  <si>
    <t>Indigenous food &amp; tisanes</t>
  </si>
  <si>
    <t>-667pre seed ccps[Right issue round opened on 07.10.2024]    -50 pre seed ccps[Private placement round opened on 03.09.2025]</t>
  </si>
  <si>
    <t>Siachen Naturals</t>
  </si>
  <si>
    <t>Himalayan natural foods</t>
  </si>
  <si>
    <t>750 Pre Seed CCPS [Right issue round opened on 27.11.2023]</t>
  </si>
  <si>
    <t xml:space="preserve"> as on 28 May 2024</t>
  </si>
  <si>
    <t>Hill Wild</t>
  </si>
  <si>
    <t>Manipur</t>
  </si>
  <si>
    <t>Indigenous food — chocolate</t>
  </si>
  <si>
    <t>Local All Natural Soda</t>
  </si>
  <si>
    <t>Mizoram</t>
  </si>
  <si>
    <t>Natural beverages</t>
  </si>
  <si>
    <t>- 2500 Pre Seed CCPS under Rights Issue : 27.11.2023
- 1263 Seed CCPS under Private Placement : 18.12.2025</t>
  </si>
  <si>
    <t>NagaEd</t>
  </si>
  <si>
    <t>Nagaland</t>
  </si>
  <si>
    <t>Education technology</t>
  </si>
  <si>
    <t>- Issue of CCPS : 2021
- Issue of CCPS : 2024</t>
  </si>
  <si>
    <t>Agapi</t>
  </si>
  <si>
    <t>Sikkim</t>
  </si>
  <si>
    <t>Natural personal care</t>
  </si>
  <si>
    <t>- 750 Pre Seed CCPS under Rights Issue : 11.05.2023
- 1309 Seed CCPS under Private Placement : 03.04.2025</t>
  </si>
  <si>
    <t>Bayul Creations</t>
  </si>
  <si>
    <t>Craft — crochet</t>
  </si>
  <si>
    <t>Crafted Fibres</t>
  </si>
  <si>
    <t>Craft &amp; textiles</t>
  </si>
  <si>
    <t>NE Origins</t>
  </si>
  <si>
    <t>Indigenous D2C marketplace</t>
  </si>
  <si>
    <t>593 Pre Seed CCPS on a rights issue basis : 08.02.2022</t>
  </si>
  <si>
    <t xml:space="preserve"> as on 24 Mar 2022</t>
  </si>
  <si>
    <t>Sajilo</t>
  </si>
  <si>
    <t>Local services</t>
  </si>
  <si>
    <t>D.E.S.C.A.T UK</t>
  </si>
  <si>
    <t>Uttarakhand</t>
  </si>
  <si>
    <t>Environment &amp; community</t>
  </si>
  <si>
    <t>- CCCPS on Right Issue Basis : 2021
- Seed CCPS under Rights Issue : 07.09.2021</t>
  </si>
  <si>
    <t xml:space="preserve"> as on 3 Dec 2021</t>
  </si>
  <si>
    <t>Danphey</t>
  </si>
  <si>
    <t>Mountain enterprise</t>
  </si>
  <si>
    <t>Kumaon Khand</t>
  </si>
  <si>
    <t>Indigenous food</t>
  </si>
  <si>
    <t>500 Pre Seed CCPS [Right issue round opened on 02.07.2026]:still ongoing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</si>
</sst>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_(* #,##0.00_);_(* \(#,##0.00\);_(* &quot;-&quot;??_);_(@_)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CC"/>
        <bgColor rgb="FFFFFFCC"/>
      </patternFill>
    </fill>
    <fill>
      <patternFill patternType="solid">
        <fgColor rgb="FFEA9999"/>
        <bgColor rgb="FFEA999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6" fillId="0" fontId="4" numFmtId="0" xfId="0" applyAlignment="1" applyBorder="1" applyFont="1">
      <alignment shrinkToFit="0" vertical="top" wrapText="1"/>
    </xf>
    <xf borderId="0" fillId="0" fontId="4" numFmtId="164" xfId="0" applyAlignment="1" applyFont="1" applyNumberFormat="1">
      <alignment horizontal="right" shrinkToFit="0" vertical="top" wrapText="1"/>
    </xf>
    <xf borderId="6" fillId="0" fontId="4" numFmtId="165" xfId="0" applyAlignment="1" applyBorder="1" applyFont="1" applyNumberFormat="1">
      <alignment horizontal="right" shrinkToFit="0" vertical="top" wrapText="1"/>
    </xf>
    <xf borderId="6" fillId="3" fontId="4" numFmtId="0" xfId="0" applyAlignment="1" applyBorder="1" applyFill="1" applyFont="1">
      <alignment shrinkToFit="0" vertical="center" wrapText="1"/>
    </xf>
    <xf borderId="6" fillId="0" fontId="4" numFmtId="164" xfId="0" applyAlignment="1" applyBorder="1" applyFont="1" applyNumberFormat="1">
      <alignment horizontal="right" shrinkToFit="0" vertical="center" wrapText="1"/>
    </xf>
    <xf borderId="6" fillId="0" fontId="4" numFmtId="165" xfId="0" applyAlignment="1" applyBorder="1" applyFont="1" applyNumberFormat="1">
      <alignment horizontal="right" shrinkToFit="0" vertical="center" wrapText="1"/>
    </xf>
    <xf borderId="5" fillId="4" fontId="3" numFmtId="0" xfId="0" applyAlignment="1" applyBorder="1" applyFill="1" applyFont="1">
      <alignment readingOrder="0" shrinkToFit="0" vertical="center" wrapText="1"/>
    </xf>
    <xf borderId="6" fillId="4" fontId="3" numFmtId="0" xfId="0" applyAlignment="1" applyBorder="1" applyFont="1">
      <alignment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6" fillId="4" fontId="3" numFmtId="0" xfId="0" applyAlignment="1" applyBorder="1" applyFont="1">
      <alignment shrinkToFit="0" vertical="center" wrapText="1"/>
    </xf>
    <xf borderId="0" fillId="4" fontId="3" numFmtId="0" xfId="0" applyAlignment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8.13"/>
    <col customWidth="1" min="3" max="3" width="31.88"/>
    <col customWidth="1" min="4" max="4" width="25.88"/>
    <col customWidth="1" min="5" max="6" width="24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7</v>
      </c>
      <c r="B2" s="8" t="s">
        <v>8</v>
      </c>
      <c r="C2" s="9" t="s">
        <v>9</v>
      </c>
      <c r="D2" s="10" t="s">
        <v>10</v>
      </c>
      <c r="E2" s="11"/>
      <c r="F2" s="12"/>
      <c r="G2" s="11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7" t="s">
        <v>11</v>
      </c>
      <c r="B3" s="8" t="s">
        <v>12</v>
      </c>
      <c r="C3" s="9" t="s">
        <v>13</v>
      </c>
      <c r="D3" s="7" t="s">
        <v>14</v>
      </c>
      <c r="E3" s="14" t="s">
        <v>15</v>
      </c>
      <c r="F3" s="15">
        <f>1599*52022</f>
        <v>83183178</v>
      </c>
      <c r="G3" s="16">
        <f t="shared" ref="G3:G4" si="1">F3/10^7</f>
        <v>8.3183178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7" t="s">
        <v>16</v>
      </c>
      <c r="B4" s="8" t="s">
        <v>12</v>
      </c>
      <c r="C4" s="9" t="s">
        <v>17</v>
      </c>
      <c r="D4" s="8" t="s">
        <v>18</v>
      </c>
      <c r="E4" s="17" t="s">
        <v>19</v>
      </c>
      <c r="F4" s="18">
        <f>15964.9*14228</f>
        <v>227148597.2</v>
      </c>
      <c r="G4" s="19">
        <f t="shared" si="1"/>
        <v>22.71485972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7" t="s">
        <v>20</v>
      </c>
      <c r="B5" s="8" t="s">
        <v>12</v>
      </c>
      <c r="C5" s="9" t="s">
        <v>21</v>
      </c>
      <c r="D5" s="8" t="s">
        <v>22</v>
      </c>
      <c r="E5" s="12"/>
      <c r="F5" s="12"/>
      <c r="G5" s="1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20" t="s">
        <v>23</v>
      </c>
      <c r="B6" s="21" t="s">
        <v>12</v>
      </c>
      <c r="C6" s="22" t="s">
        <v>24</v>
      </c>
      <c r="D6" s="23"/>
      <c r="E6" s="23"/>
      <c r="F6" s="23"/>
      <c r="G6" s="23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>
      <c r="A7" s="7" t="s">
        <v>25</v>
      </c>
      <c r="B7" s="8" t="s">
        <v>26</v>
      </c>
      <c r="C7" s="9" t="s">
        <v>27</v>
      </c>
      <c r="D7" s="8" t="s">
        <v>28</v>
      </c>
      <c r="E7" s="25" t="s">
        <v>29</v>
      </c>
      <c r="F7" s="18">
        <f>9990*10301</f>
        <v>102906990</v>
      </c>
      <c r="G7" s="19">
        <f>F7/10^7</f>
        <v>10.290699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20" t="s">
        <v>30</v>
      </c>
      <c r="B8" s="21" t="s">
        <v>26</v>
      </c>
      <c r="C8" s="22" t="s">
        <v>31</v>
      </c>
      <c r="D8" s="23"/>
      <c r="E8" s="23"/>
      <c r="F8" s="23"/>
      <c r="G8" s="23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>
      <c r="A9" s="20" t="s">
        <v>32</v>
      </c>
      <c r="B9" s="21" t="s">
        <v>26</v>
      </c>
      <c r="C9" s="22" t="s">
        <v>33</v>
      </c>
      <c r="D9" s="23"/>
      <c r="E9" s="23"/>
      <c r="F9" s="23"/>
      <c r="G9" s="23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>
      <c r="A10" s="7" t="s">
        <v>34</v>
      </c>
      <c r="B10" s="8" t="s">
        <v>26</v>
      </c>
      <c r="C10" s="9" t="s">
        <v>35</v>
      </c>
      <c r="D10" s="8" t="s">
        <v>36</v>
      </c>
      <c r="E10" s="25" t="s">
        <v>29</v>
      </c>
      <c r="F10" s="18">
        <f>5990*10535</f>
        <v>63104650</v>
      </c>
      <c r="G10" s="19">
        <f t="shared" ref="G10:G11" si="2">F10/10^7</f>
        <v>6.310465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7" t="s">
        <v>37</v>
      </c>
      <c r="B11" s="8" t="s">
        <v>26</v>
      </c>
      <c r="C11" s="9" t="s">
        <v>38</v>
      </c>
      <c r="D11" s="8" t="s">
        <v>39</v>
      </c>
      <c r="E11" s="17" t="s">
        <v>40</v>
      </c>
      <c r="F11" s="18">
        <f>3990*10675</f>
        <v>42593250</v>
      </c>
      <c r="G11" s="19">
        <f t="shared" si="2"/>
        <v>4.259325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20" t="s">
        <v>41</v>
      </c>
      <c r="B12" s="21" t="s">
        <v>42</v>
      </c>
      <c r="C12" s="22" t="s">
        <v>43</v>
      </c>
      <c r="D12" s="23"/>
      <c r="E12" s="23"/>
      <c r="F12" s="23"/>
      <c r="G12" s="23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>
      <c r="A13" s="7" t="s">
        <v>44</v>
      </c>
      <c r="B13" s="8" t="s">
        <v>45</v>
      </c>
      <c r="C13" s="9" t="s">
        <v>46</v>
      </c>
      <c r="D13" s="8" t="s">
        <v>47</v>
      </c>
      <c r="E13" s="26" t="s">
        <v>29</v>
      </c>
      <c r="F13" s="18">
        <f>4485.24*53763</f>
        <v>241139958.1</v>
      </c>
      <c r="G13" s="19">
        <f>F13/10^7</f>
        <v>24.11399581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7" t="s">
        <v>48</v>
      </c>
      <c r="B14" s="8" t="s">
        <v>49</v>
      </c>
      <c r="C14" s="9" t="s">
        <v>50</v>
      </c>
      <c r="D14" s="8" t="s">
        <v>51</v>
      </c>
      <c r="E14" s="12"/>
      <c r="F14" s="12"/>
      <c r="G14" s="1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7" t="s">
        <v>52</v>
      </c>
      <c r="B15" s="8" t="s">
        <v>53</v>
      </c>
      <c r="C15" s="9" t="s">
        <v>54</v>
      </c>
      <c r="D15" s="8" t="s">
        <v>55</v>
      </c>
      <c r="E15" s="25" t="s">
        <v>29</v>
      </c>
      <c r="F15" s="18">
        <f>18831*11454</f>
        <v>215690274</v>
      </c>
      <c r="G15" s="19">
        <f>F15/10^7</f>
        <v>21.5690274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7" t="s">
        <v>56</v>
      </c>
      <c r="B16" s="8" t="s">
        <v>53</v>
      </c>
      <c r="C16" s="9" t="s">
        <v>57</v>
      </c>
      <c r="D16" s="8" t="s">
        <v>10</v>
      </c>
      <c r="E16" s="12"/>
      <c r="F16" s="12"/>
      <c r="G16" s="12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20" t="s">
        <v>58</v>
      </c>
      <c r="B17" s="21" t="s">
        <v>53</v>
      </c>
      <c r="C17" s="22" t="s">
        <v>59</v>
      </c>
      <c r="D17" s="23"/>
      <c r="E17" s="23"/>
      <c r="F17" s="23"/>
      <c r="G17" s="23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>
      <c r="A18" s="7" t="s">
        <v>60</v>
      </c>
      <c r="B18" s="8" t="s">
        <v>53</v>
      </c>
      <c r="C18" s="9" t="s">
        <v>61</v>
      </c>
      <c r="D18" s="8" t="s">
        <v>62</v>
      </c>
      <c r="E18" s="17" t="s">
        <v>63</v>
      </c>
      <c r="F18" s="18">
        <f>10408*13490</f>
        <v>140403920</v>
      </c>
      <c r="G18" s="19">
        <f>F18/10^7</f>
        <v>14.040392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20" t="s">
        <v>64</v>
      </c>
      <c r="B19" s="21" t="s">
        <v>53</v>
      </c>
      <c r="C19" s="22" t="s">
        <v>65</v>
      </c>
      <c r="D19" s="23"/>
      <c r="E19" s="23"/>
      <c r="F19" s="23"/>
      <c r="G19" s="23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>
      <c r="A20" s="7" t="s">
        <v>66</v>
      </c>
      <c r="B20" s="8" t="s">
        <v>67</v>
      </c>
      <c r="C20" s="9" t="s">
        <v>68</v>
      </c>
      <c r="D20" s="8" t="s">
        <v>69</v>
      </c>
      <c r="E20" s="17" t="s">
        <v>70</v>
      </c>
      <c r="F20" s="18">
        <f>3790.11*10827</f>
        <v>41035520.97</v>
      </c>
      <c r="G20" s="19">
        <f>F20/10^7</f>
        <v>4.103552097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20" t="s">
        <v>71</v>
      </c>
      <c r="B21" s="21" t="s">
        <v>67</v>
      </c>
      <c r="C21" s="22" t="s">
        <v>72</v>
      </c>
      <c r="D21" s="23"/>
      <c r="E21" s="23"/>
      <c r="F21" s="23"/>
      <c r="G21" s="23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>
      <c r="A22" s="27" t="s">
        <v>73</v>
      </c>
      <c r="B22" s="28" t="s">
        <v>67</v>
      </c>
      <c r="C22" s="29" t="s">
        <v>74</v>
      </c>
      <c r="D22" s="28" t="s">
        <v>75</v>
      </c>
      <c r="E22" s="30"/>
      <c r="F22" s="30"/>
      <c r="G22" s="30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</sheetData>
  <drawing r:id="rId1"/>
</worksheet>
</file>